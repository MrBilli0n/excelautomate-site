
<file path=[Content_Types].xml><?xml version="1.0" encoding="utf-8"?>
<Types xmlns="http://schemas.openxmlformats.org/package/2006/content-types"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0bda81b4b08308/ExcelAutomate.pro/Free Tools/"/>
    </mc:Choice>
  </mc:AlternateContent>
  <xr:revisionPtr revIDLastSave="1" documentId="8_{E76DC845-D000-4C28-A619-D0D9D174CBDC}" xr6:coauthVersionLast="47" xr6:coauthVersionMax="47" xr10:uidLastSave="{67D6710A-F9DB-477A-B0BD-264A0087243D}"/>
  <bookViews>
    <workbookView xWindow="-108" yWindow="-108" windowWidth="23256" windowHeight="12456" xr2:uid="{85CF3C18-68E4-47C2-8282-1D0F8BD648F0}"/>
  </bookViews>
  <sheets>
    <sheet name="Dashboard" sheetId="1" r:id="rId1"/>
    <sheet name="Inputs" sheetId="3" r:id="rId2"/>
    <sheet name="Forecast" sheetId="2" r:id="rId3"/>
    <sheet name="Helper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" i="1" l="1"/>
  <c r="I2" i="2"/>
  <c r="F2" i="2" a="1"/>
  <c r="F2" i="2" s="1"/>
  <c r="C2" i="2"/>
  <c r="D2" i="2" s="1"/>
  <c r="B3" i="2" s="1"/>
  <c r="B2" i="2"/>
  <c r="A3" i="2"/>
  <c r="A4" i="2" s="1"/>
  <c r="A5" i="2" l="1"/>
  <c r="C4" i="2"/>
  <c r="C3" i="2"/>
  <c r="D3" i="2" s="1"/>
  <c r="D4" i="2" l="1"/>
  <c r="B4" i="2"/>
  <c r="A6" i="2"/>
  <c r="C5" i="2"/>
  <c r="A7" i="2" l="1"/>
  <c r="C6" i="2"/>
  <c r="D5" i="2"/>
  <c r="B5" i="2"/>
  <c r="D6" i="2" l="1"/>
  <c r="B6" i="2"/>
  <c r="A8" i="2"/>
  <c r="C7" i="2"/>
  <c r="A9" i="2" l="1"/>
  <c r="C8" i="2"/>
  <c r="D7" i="2"/>
  <c r="B7" i="2"/>
  <c r="D8" i="2" l="1"/>
  <c r="B8" i="2"/>
  <c r="A10" i="2"/>
  <c r="C9" i="2"/>
  <c r="D9" i="2" l="1"/>
  <c r="B9" i="2"/>
  <c r="A11" i="2"/>
  <c r="C10" i="2"/>
  <c r="A12" i="2" l="1"/>
  <c r="C11" i="2"/>
  <c r="B10" i="2"/>
  <c r="D10" i="2"/>
  <c r="D11" i="2" l="1"/>
  <c r="B11" i="2"/>
  <c r="A13" i="2"/>
  <c r="C13" i="2" s="1"/>
  <c r="C12" i="2"/>
  <c r="D12" i="2" l="1"/>
  <c r="B12" i="2"/>
  <c r="D13" i="2" l="1"/>
  <c r="G2" i="2" s="1" a="1"/>
  <c r="G2" i="2" s="1"/>
  <c r="B13" i="2"/>
  <c r="A2" i="4" l="1"/>
  <c r="I2" i="4" l="1"/>
  <c r="D2" i="4"/>
  <c r="E2" i="4" s="1"/>
  <c r="K2" i="4"/>
  <c r="G2" i="4"/>
  <c r="H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<sst xmlns="http://schemas.openxmlformats.org/spreadsheetml/2006/main" count="53" uniqueCount="33">
  <si>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Date</t>
  </si>
  <si>
    <t>Type</t>
  </si>
  <si>
    <t>Description</t>
  </si>
  <si>
    <t>Amount</t>
  </si>
  <si>
    <t>Inflow</t>
  </si>
  <si>
    <t>Product Sales</t>
  </si>
  <si>
    <t>Outflow</t>
  </si>
  <si>
    <t>Rent</t>
  </si>
  <si>
    <t>Payroll</t>
  </si>
  <si>
    <t>Consulting</t>
  </si>
  <si>
    <t>Marketing</t>
  </si>
  <si>
    <t>Month</t>
  </si>
  <si>
    <t>Starting Balance</t>
  </si>
  <si>
    <t>Ending Balance</t>
  </si>
  <si>
    <t>Net Cash Flow</t>
  </si>
  <si>
    <t>Runway (Days)</t>
  </si>
  <si>
    <t>Burn Rate</t>
  </si>
  <si>
    <t>Runway</t>
  </si>
  <si>
    <t>Explanation:</t>
  </si>
  <si>
    <t>Days in Year</t>
  </si>
  <si>
    <t>Remaining</t>
  </si>
  <si>
    <t>Red</t>
  </si>
  <si>
    <t>Yellow</t>
  </si>
  <si>
    <t>Green</t>
  </si>
  <si>
    <t>ALERT</t>
  </si>
  <si>
    <t>Holiday Sales</t>
  </si>
  <si>
    <t>Bonuses</t>
  </si>
  <si>
    <t>Software Subs</t>
  </si>
  <si>
    <t>Consulting Fee</t>
  </si>
  <si>
    <t>Taxes</t>
  </si>
  <si>
    <t>Investment</t>
  </si>
  <si>
    <t>Equipment</t>
  </si>
  <si>
    <t>Q1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</si>
</sst>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\ &quot;days&quot;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170" fontId="0" fillId="0" borderId="0" xfId="0" applyNumberForma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70" fontId="5" fillId="0" borderId="0" xfId="0" applyNumberFormat="1" applyFont="1" applyAlignment="1">
      <alignment horizontal="center" vertical="center"/>
    </xf>
    <xf numFmtId="14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3" fontId="0" fillId="0" borderId="0" xfId="0" applyNumberFormat="1" applyFont="1" applyAlignment="1">
      <alignment vertical="center" wrapText="1"/>
    </xf>
    <xf numFmtId="0" fontId="0" fillId="2" borderId="0" xfId="0" applyFill="1"/>
    <xf numFmtId="0" fontId="3" fillId="2" borderId="0" xfId="0" applyFont="1" applyFill="1"/>
    <xf numFmtId="0" fontId="0" fillId="3" borderId="0" xfId="0" applyFill="1"/>
  </cellXfs>
  <cellStyles count="1">
    <cellStyle name="Normal" xfId="0" builtinId="0"/>
  </cellStyles>
  <dxfs count="9">
    <dxf>
      <fill>
        <patternFill>
          <bgColor rgb="FFEF4444"/>
        </patternFill>
      </fill>
    </dxf>
    <dxf>
      <fill>
        <patternFill>
          <bgColor rgb="FFF59E0B"/>
        </patternFill>
      </fill>
    </dxf>
    <dxf>
      <fill>
        <patternFill>
          <bgColor rgb="FF10B981"/>
        </patternFill>
      </fill>
    </dxf>
    <dxf>
      <font>
        <b val="0"/>
      </font>
    </dxf>
    <dxf>
      <font>
        <b val="0"/>
      </font>
      <numFmt numFmtId="3" formatCode="#,##0"/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numFmt numFmtId="19" formatCode="m/d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10B981"/>
      <color rgb="FFF59E0B"/>
      <color rgb="FFEF4444"/>
      <color rgb="FF15FF7F"/>
      <color rgb="FFFFD961"/>
      <color rgb="FFFF8181"/>
      <color rgb="FFE5E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effectLst/>
              </a:rPr>
              <a:t>Cash Balance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Forecast!$A$2:$A$13</c:f>
              <c:numCache>
                <c:formatCode>mmm\-yy</c:formatCode>
                <c:ptCount val="1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</c:numCache>
            </c:numRef>
          </c:cat>
          <c:val>
            <c:numRef>
              <c:f>Forecast!$D$2:$D$13</c:f>
              <c:numCache>
                <c:formatCode>General</c:formatCode>
                <c:ptCount val="12"/>
                <c:pt idx="0">
                  <c:v>20600</c:v>
                </c:pt>
                <c:pt idx="1">
                  <c:v>31100</c:v>
                </c:pt>
                <c:pt idx="2">
                  <c:v>37400</c:v>
                </c:pt>
                <c:pt idx="3">
                  <c:v>52400</c:v>
                </c:pt>
                <c:pt idx="4">
                  <c:v>66400</c:v>
                </c:pt>
                <c:pt idx="5">
                  <c:v>66400</c:v>
                </c:pt>
                <c:pt idx="6">
                  <c:v>66400</c:v>
                </c:pt>
                <c:pt idx="7">
                  <c:v>66400</c:v>
                </c:pt>
                <c:pt idx="8">
                  <c:v>66400</c:v>
                </c:pt>
                <c:pt idx="9">
                  <c:v>66400</c:v>
                </c:pt>
                <c:pt idx="10">
                  <c:v>66400</c:v>
                </c:pt>
                <c:pt idx="11">
                  <c:v>66400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D-496D-9655-DABAAB32D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923040"/>
        <c:axId val="8369350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Forecast!$A$2:$A$13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45962</c:v>
                      </c:pt>
                      <c:pt idx="1">
                        <c:v>45992</c:v>
                      </c:pt>
                      <c:pt idx="2">
                        <c:v>46023</c:v>
                      </c:pt>
                      <c:pt idx="3">
                        <c:v>46054</c:v>
                      </c:pt>
                      <c:pt idx="4">
                        <c:v>46082</c:v>
                      </c:pt>
                      <c:pt idx="5">
                        <c:v>46113</c:v>
                      </c:pt>
                      <c:pt idx="6">
                        <c:v>46143</c:v>
                      </c:pt>
                      <c:pt idx="7">
                        <c:v>46174</c:v>
                      </c:pt>
                      <c:pt idx="8">
                        <c:v>46204</c:v>
                      </c:pt>
                      <c:pt idx="9">
                        <c:v>46235</c:v>
                      </c:pt>
                      <c:pt idx="10">
                        <c:v>46266</c:v>
                      </c:pt>
                      <c:pt idx="11">
                        <c:v>46296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Forecast!$B$2:$B$13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10000</c:v>
                      </c:pt>
                      <c:pt idx="1">
                        <c:v>20600</c:v>
                      </c:pt>
                      <c:pt idx="2">
                        <c:v>31100</c:v>
                      </c:pt>
                      <c:pt idx="3">
                        <c:v>37400</c:v>
                      </c:pt>
                      <c:pt idx="4">
                        <c:v>52400</c:v>
                      </c:pt>
                      <c:pt idx="5">
                        <c:v>66400</c:v>
                      </c:pt>
                      <c:pt idx="6">
                        <c:v>66400</c:v>
                      </c:pt>
                      <c:pt idx="7">
                        <c:v>66400</c:v>
                      </c:pt>
                      <c:pt idx="8">
                        <c:v>66400</c:v>
                      </c:pt>
                      <c:pt idx="9">
                        <c:v>66400</c:v>
                      </c:pt>
                      <c:pt idx="10">
                        <c:v>66400</c:v>
                      </c:pt>
                      <c:pt idx="11">
                        <c:v>66400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6DD-496D-9655-DABAAB32DEE2}"/>
                  </c:ext>
                </c:extLst>
              </c15:ser>
            </c15:filteredLineSeries>
          </c:ext>
        </c:extLst>
      </c:lineChart>
      <c:dateAx>
        <c:axId val="836923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35040"/>
        <c:crosses val="autoZero"/>
        <c:auto val="1"/>
        <c:lblOffset val="100"/>
        <c:baseTimeUnit val="months"/>
      </c:dateAx>
      <c:valAx>
        <c:axId val="8369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2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Helper!$G$1</c:f>
              <c:strCache>
                <c:ptCount val="1"/>
                <c:pt idx="0">
                  <c:v>Red</c:v>
                </c:pt>
              </c:strCache>
            </c:strRef>
          </c:tx>
          <c:dPt>
            <c:idx val="0"/>
            <c:bubble3D val="0"/>
            <c:spPr>
              <a:solidFill>
                <a:srgbClr val="EF44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A64-4500-9E15-578BDE70E7DC}"/>
              </c:ext>
            </c:extLst>
          </c:dPt>
          <c:val>
            <c:numRef>
              <c:f>Helper!$G$2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4-4500-9E15-578BDE70E7DC}"/>
            </c:ext>
          </c:extLst>
        </c:ser>
        <c:ser>
          <c:idx val="1"/>
          <c:order val="1"/>
          <c:tx>
            <c:strRef>
              <c:f>Helper!$H$1</c:f>
              <c:strCache>
                <c:ptCount val="1"/>
                <c:pt idx="0">
                  <c:v>Yellow</c:v>
                </c:pt>
              </c:strCache>
            </c:strRef>
          </c:tx>
          <c:dPt>
            <c:idx val="0"/>
            <c:bubble3D val="0"/>
            <c:spPr>
              <a:solidFill>
                <a:srgbClr val="F59E0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64-4500-9E15-578BDE70E7DC}"/>
              </c:ext>
            </c:extLst>
          </c:dPt>
          <c:val>
            <c:numRef>
              <c:f>Helper!$H$2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64-4500-9E15-578BDE70E7DC}"/>
            </c:ext>
          </c:extLst>
        </c:ser>
        <c:ser>
          <c:idx val="2"/>
          <c:order val="2"/>
          <c:tx>
            <c:strRef>
              <c:f>Helper!$I$1</c:f>
              <c:strCache>
                <c:ptCount val="1"/>
                <c:pt idx="0">
                  <c:v>Green</c:v>
                </c:pt>
              </c:strCache>
            </c:strRef>
          </c:tx>
          <c:dPt>
            <c:idx val="0"/>
            <c:bubble3D val="0"/>
            <c:spPr>
              <a:solidFill>
                <a:srgbClr val="10B98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64-4500-9E15-578BDE70E7DC}"/>
              </c:ext>
            </c:extLst>
          </c:dPt>
          <c:val>
            <c:numRef>
              <c:f>Helper!$I$2</c:f>
              <c:numCache>
                <c:formatCode>0.00</c:formatCode>
                <c:ptCount val="1"/>
                <c:pt idx="0">
                  <c:v>1.3542268601923928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64-4500-9E15-578BDE70E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jpg"/><Relationship Id="rId4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91440</xdr:rowOff>
    </xdr:from>
    <xdr:to>
      <xdr:col>7</xdr:col>
      <xdr:colOff>304800</xdr:colOff>
      <xdr:row>19</xdr:row>
      <xdr:rowOff>91440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9613407-6124-5EBC-8C8E-6424471BE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4</xdr:row>
      <xdr:rowOff>91440</xdr:rowOff>
    </xdr:from>
    <xdr:to>
      <xdr:col>15</xdr:col>
      <xdr:colOff>0</xdr:colOff>
      <xdr:row>19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B20AD2-5A0A-650F-B1BF-B8CBD384B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525780</xdr:colOff>
          <xdr:row>10</xdr:row>
          <xdr:rowOff>167640</xdr:rowOff>
        </xdr:from>
        <xdr:to>
          <xdr:col>12</xdr:col>
          <xdr:colOff>175260</xdr:colOff>
          <xdr:row>12</xdr:row>
          <xdr:rowOff>114300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85124C20-2E2E-B743-A213-C0CEA904FD1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elper!$A$2" spid="_x0000_s308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621780" y="1996440"/>
              <a:ext cx="868680" cy="3124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373380</xdr:colOff>
          <xdr:row>1</xdr:row>
          <xdr:rowOff>22860</xdr:rowOff>
        </xdr:from>
        <xdr:to>
          <xdr:col>9</xdr:col>
          <xdr:colOff>243840</xdr:colOff>
          <xdr:row>2</xdr:row>
          <xdr:rowOff>152400</xdr:rowOff>
        </xdr:to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B344FD74-B5F0-36AE-20AB-28C2A4A59E0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elper!$K$2" spid="_x0000_s3082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3421380" y="205740"/>
              <a:ext cx="2308860" cy="31242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6</xdr:col>
      <xdr:colOff>129540</xdr:colOff>
      <xdr:row>9</xdr:row>
      <xdr:rowOff>114300</xdr:rowOff>
    </xdr:from>
    <xdr:to>
      <xdr:col>8</xdr:col>
      <xdr:colOff>320040</xdr:colOff>
      <xdr:row>14</xdr:row>
      <xdr:rowOff>60960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AC5AEFF-1B4A-32F1-44C7-B0B86F8CFA4B}"/>
            </a:ext>
          </a:extLst>
        </xdr:cNvPr>
        <xdr:cNvSpPr/>
      </xdr:nvSpPr>
      <xdr:spPr>
        <a:xfrm>
          <a:off x="3787140" y="1760220"/>
          <a:ext cx="1409700" cy="861060"/>
        </a:xfrm>
        <a:prstGeom prst="roundRect">
          <a:avLst/>
        </a:prstGeom>
        <a:blipFill>
          <a:blip xmlns:r="http://schemas.openxmlformats.org/officeDocument/2006/relationships" r:embed="rId5"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97404-405E-4A20-AE5A-578913C6B5AC}" name="Transactions" displayName="Transactions" ref="A1:D18" totalsRowShown="0" headerRowDxfId="8" dataDxfId="3">
  <autoFilter ref="A1:D18" xr:uid="{BB797404-405E-4A20-AE5A-578913C6B5AC}"/>
  <tableColumns count="4">
    <tableColumn id="1" xr3:uid="{D388A971-C1E3-414A-8221-6AEB45094A8F}" name="Date" dataDxfId="7"/>
    <tableColumn id="2" xr3:uid="{B7BEA553-E768-436E-AC53-370D8FAA6A24}" name="Type" dataDxfId="6"/>
    <tableColumn id="3" xr3:uid="{BD7C6496-5E60-47A3-8750-E53F9A7748BC}" name="Description" dataDxfId="5"/>
    <tableColumn id="4" xr3:uid="{96BDB698-4D5F-4C61-89FC-307D3CCF60E9}" name="Amoun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A742-7F5F-4073-9029-34409AA4A4A2}">
  <sheetPr codeName="Sheet1"/>
  <dimension ref="A1:O23"/>
  <sheetViews>
    <sheetView showGridLines="0" tabSelected="1" workbookViewId="0"/>
  </sheetViews>
  <sheetFormatPr defaultColWidth="0" defaultRowHeight="14.4"/>
  <cols>
    <col min="1" max="15" width="8.88671875" style="17" customWidth="1"/>
    <col min="16" max="16384" width="8.88671875" hidden="1"/>
  </cols>
  <sheetData>
    <row r="1" spans="1:1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>
      <c r="A21" s="15"/>
      <c r="B21" s="15"/>
      <c r="C21" s="15"/>
      <c r="D21" s="15"/>
      <c r="E21" s="15"/>
      <c r="F21" s="15"/>
      <c r="G21" s="15"/>
      <c r="H21" s="15"/>
      <c r="I21" s="15"/>
      <c r="J21" s="16" t="str">
        <f>Forecast!I2</f>
        <v>Even if I stop earning tomorrow, I’ll survive 494.29 days.</v>
      </c>
      <c r="K21" s="15"/>
      <c r="L21" s="15"/>
      <c r="M21" s="15"/>
      <c r="N21" s="15"/>
      <c r="O21" s="15"/>
    </row>
    <row r="22" spans="1:1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77F9-A342-452A-B8CF-A04D66075F36}">
  <sheetPr codeName="Sheet2"/>
  <dimension ref="A1:D18"/>
  <sheetViews>
    <sheetView showGridLines="0" workbookViewId="0"/>
  </sheetViews>
  <sheetFormatPr defaultColWidth="19.33203125" defaultRowHeight="14.4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2">
        <v>45962</v>
      </c>
      <c r="B2" s="13" t="s">
        <v>4</v>
      </c>
      <c r="C2" s="13" t="s">
        <v>5</v>
      </c>
      <c r="D2" s="14">
        <v>12500</v>
      </c>
    </row>
    <row r="3" spans="1:4">
      <c r="A3" s="12">
        <v>45966</v>
      </c>
      <c r="B3" s="13" t="s">
        <v>6</v>
      </c>
      <c r="C3" s="13" t="s">
        <v>7</v>
      </c>
      <c r="D3" s="14">
        <v>-3000</v>
      </c>
    </row>
    <row r="4" spans="1:4">
      <c r="A4" s="12">
        <v>45971</v>
      </c>
      <c r="B4" s="13" t="s">
        <v>6</v>
      </c>
      <c r="C4" s="13" t="s">
        <v>8</v>
      </c>
      <c r="D4" s="14">
        <v>-6000</v>
      </c>
    </row>
    <row r="5" spans="1:4">
      <c r="A5" s="12">
        <v>45976</v>
      </c>
      <c r="B5" s="13" t="s">
        <v>4</v>
      </c>
      <c r="C5" s="13" t="s">
        <v>9</v>
      </c>
      <c r="D5" s="14">
        <v>4200</v>
      </c>
    </row>
    <row r="6" spans="1:4">
      <c r="A6" s="12">
        <v>45981</v>
      </c>
      <c r="B6" s="13" t="s">
        <v>6</v>
      </c>
      <c r="C6" s="13" t="s">
        <v>10</v>
      </c>
      <c r="D6" s="14">
        <v>-1800</v>
      </c>
    </row>
    <row r="7" spans="1:4">
      <c r="A7" s="12">
        <v>45962</v>
      </c>
      <c r="B7" s="13" t="s">
        <v>4</v>
      </c>
      <c r="C7" s="13" t="s">
        <v>5</v>
      </c>
      <c r="D7" s="14">
        <v>12500</v>
      </c>
    </row>
    <row r="8" spans="1:4">
      <c r="A8" s="12">
        <v>45971</v>
      </c>
      <c r="B8" s="13" t="s">
        <v>6</v>
      </c>
      <c r="C8" s="13" t="s">
        <v>8</v>
      </c>
      <c r="D8" s="14">
        <v>-6000</v>
      </c>
    </row>
    <row r="9" spans="1:4">
      <c r="A9" s="12">
        <v>45981</v>
      </c>
      <c r="B9" s="13" t="s">
        <v>6</v>
      </c>
      <c r="C9" s="13" t="s">
        <v>10</v>
      </c>
      <c r="D9" s="14">
        <v>-1800</v>
      </c>
    </row>
    <row r="10" spans="1:4">
      <c r="A10" s="12">
        <v>45996</v>
      </c>
      <c r="B10" s="13" t="s">
        <v>6</v>
      </c>
      <c r="C10" s="13" t="s">
        <v>7</v>
      </c>
      <c r="D10" s="14">
        <v>-3000</v>
      </c>
    </row>
    <row r="11" spans="1:4">
      <c r="A11" s="12">
        <v>46006</v>
      </c>
      <c r="B11" s="13" t="s">
        <v>4</v>
      </c>
      <c r="C11" s="13" t="s">
        <v>25</v>
      </c>
      <c r="D11" s="14">
        <v>18000</v>
      </c>
    </row>
    <row r="12" spans="1:4">
      <c r="A12" s="12">
        <v>46011</v>
      </c>
      <c r="B12" s="13" t="s">
        <v>6</v>
      </c>
      <c r="C12" s="13" t="s">
        <v>26</v>
      </c>
      <c r="D12" s="14">
        <v>-4500</v>
      </c>
    </row>
    <row r="13" spans="1:4">
      <c r="A13" s="12">
        <v>46030</v>
      </c>
      <c r="B13" s="13" t="s">
        <v>6</v>
      </c>
      <c r="C13" s="13" t="s">
        <v>27</v>
      </c>
      <c r="D13" s="14">
        <v>-1200</v>
      </c>
    </row>
    <row r="14" spans="1:4">
      <c r="A14" s="12">
        <v>46037</v>
      </c>
      <c r="B14" s="13" t="s">
        <v>4</v>
      </c>
      <c r="C14" s="13" t="s">
        <v>28</v>
      </c>
      <c r="D14" s="14">
        <v>7500</v>
      </c>
    </row>
    <row r="15" spans="1:4">
      <c r="A15" s="12">
        <v>46054</v>
      </c>
      <c r="B15" s="13" t="s">
        <v>6</v>
      </c>
      <c r="C15" s="13" t="s">
        <v>29</v>
      </c>
      <c r="D15" s="14">
        <v>-5000</v>
      </c>
    </row>
    <row r="16" spans="1:4">
      <c r="A16" s="12">
        <v>46073</v>
      </c>
      <c r="B16" s="13" t="s">
        <v>4</v>
      </c>
      <c r="C16" s="13" t="s">
        <v>30</v>
      </c>
      <c r="D16" s="14">
        <v>20000</v>
      </c>
    </row>
    <row r="17" spans="1:4">
      <c r="A17" s="12">
        <v>46091</v>
      </c>
      <c r="B17" s="13" t="s">
        <v>6</v>
      </c>
      <c r="C17" s="13" t="s">
        <v>31</v>
      </c>
      <c r="D17" s="14">
        <v>-8000</v>
      </c>
    </row>
    <row r="18" spans="1:4">
      <c r="A18" s="12">
        <v>46106</v>
      </c>
      <c r="B18" s="13" t="s">
        <v>4</v>
      </c>
      <c r="C18" s="13" t="s">
        <v>32</v>
      </c>
      <c r="D18" s="14">
        <v>22000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AD34-4151-4A89-8124-862FCD3213A6}">
  <sheetPr codeName="Sheet3"/>
  <dimension ref="A1:I20"/>
  <sheetViews>
    <sheetView showGridLines="0" workbookViewId="0"/>
  </sheetViews>
  <sheetFormatPr defaultColWidth="8.77734375" defaultRowHeight="14.4"/>
  <cols>
    <col min="1" max="1" width="6.88671875" bestFit="1" customWidth="1"/>
    <col min="2" max="2" width="14.6640625" bestFit="1" customWidth="1"/>
    <col min="3" max="3" width="16.109375" bestFit="1" customWidth="1"/>
    <col min="4" max="4" width="13.6640625" bestFit="1" customWidth="1"/>
    <col min="5" max="5" width="13.109375" bestFit="1" customWidth="1"/>
    <col min="6" max="6" width="8.88671875" bestFit="1" customWidth="1"/>
    <col min="7" max="7" width="13.109375" bestFit="1" customWidth="1"/>
  </cols>
  <sheetData>
    <row r="1" spans="1:9">
      <c r="A1" s="2" t="s">
        <v>11</v>
      </c>
      <c r="B1" s="2" t="s">
        <v>12</v>
      </c>
      <c r="C1" s="2" t="s">
        <v>14</v>
      </c>
      <c r="D1" s="2" t="s">
        <v>13</v>
      </c>
      <c r="E1" s="2"/>
      <c r="F1" s="2" t="s">
        <v>16</v>
      </c>
      <c r="G1" s="2" t="s">
        <v>15</v>
      </c>
      <c r="I1" s="5" t="s">
        <v>18</v>
      </c>
    </row>
    <row r="2" spans="1:9">
      <c r="A2" s="3">
        <v>45962</v>
      </c>
      <c r="B2" s="4">
        <f>10000</f>
        <v>10000</v>
      </c>
      <c r="C2" s="1">
        <f>SUMIFS(Transactions[Amount], Transactions[Date], "&gt;="&amp;EOMONTH(A2,-1)+1, Transactions[Date], "&lt;="&amp;EOMONTH(A2,0))</f>
        <v>10600</v>
      </c>
      <c r="D2">
        <f>B2+C2</f>
        <v>20600</v>
      </c>
      <c r="F2" cm="1">
        <f t="array" ref="F2">AVERAGE(IF(Transactions[Type]="Outflow", Transactions[Amount], ""))</f>
        <v>-4030</v>
      </c>
      <c r="G2" s="6" cm="1">
        <f t="array" ref="G2">IF(F2&gt;=0, "No Burn", INDEX(D:D, _xlfn.AGGREGATE(14,6,ROW(A2:A13)/(A2:A13&lt;&gt;""),1)) / -F2 * 30)</f>
        <v>494.29280397022336</v>
      </c>
      <c r="I2" s="5" t="str">
        <f>"Even if I stop earning tomorrow, I’ll survive "&amp;ROUND(G2,2)&amp;" days."</f>
        <v>Even if I stop earning tomorrow, I’ll survive 494.29 days.</v>
      </c>
    </row>
    <row r="3" spans="1:9">
      <c r="A3" s="3">
        <f>EDATE(A2,1)</f>
        <v>45992</v>
      </c>
      <c r="B3">
        <f>D2</f>
        <v>20600</v>
      </c>
      <c r="C3" s="1">
        <f>SUMIFS(Transactions[Amount], Transactions[Date], "&gt;="&amp;EOMONTH(A3,-1)+1, Transactions[Date], "&lt;="&amp;EOMONTH(A3,0))</f>
        <v>10500</v>
      </c>
      <c r="D3">
        <f>D2+C3</f>
        <v>31100</v>
      </c>
    </row>
    <row r="4" spans="1:9">
      <c r="A4" s="3">
        <f t="shared" ref="A4:A13" si="0">EDATE(A3,1)</f>
        <v>46023</v>
      </c>
      <c r="B4">
        <f t="shared" ref="B4:B13" si="1">D3</f>
        <v>31100</v>
      </c>
      <c r="C4" s="1">
        <f>SUMIFS(Transactions[Amount], Transactions[Date], "&gt;="&amp;EOMONTH(A4,-1)+1, Transactions[Date], "&lt;="&amp;EOMONTH(A4,0))</f>
        <v>6300</v>
      </c>
      <c r="D4">
        <f t="shared" ref="D4:D13" si="2">D3+C4</f>
        <v>37400</v>
      </c>
    </row>
    <row r="5" spans="1:9">
      <c r="A5" s="3">
        <f t="shared" si="0"/>
        <v>46054</v>
      </c>
      <c r="B5">
        <f t="shared" si="1"/>
        <v>37400</v>
      </c>
      <c r="C5" s="1">
        <f>SUMIFS(Transactions[Amount], Transactions[Date], "&gt;="&amp;EOMONTH(A5,-1)+1, Transactions[Date], "&lt;="&amp;EOMONTH(A5,0))</f>
        <v>15000</v>
      </c>
      <c r="D5">
        <f t="shared" si="2"/>
        <v>52400</v>
      </c>
    </row>
    <row r="6" spans="1:9">
      <c r="A6" s="3">
        <f t="shared" si="0"/>
        <v>46082</v>
      </c>
      <c r="B6">
        <f t="shared" si="1"/>
        <v>52400</v>
      </c>
      <c r="C6" s="1">
        <f>SUMIFS(Transactions[Amount], Transactions[Date], "&gt;="&amp;EOMONTH(A6,-1)+1, Transactions[Date], "&lt;="&amp;EOMONTH(A6,0))</f>
        <v>14000</v>
      </c>
      <c r="D6">
        <f t="shared" si="2"/>
        <v>66400</v>
      </c>
    </row>
    <row r="7" spans="1:9">
      <c r="A7" s="3">
        <f t="shared" si="0"/>
        <v>46113</v>
      </c>
      <c r="B7">
        <f t="shared" si="1"/>
        <v>66400</v>
      </c>
      <c r="C7" s="1">
        <f>SUMIFS(Transactions[Amount], Transactions[Date], "&gt;="&amp;EOMONTH(A7,-1)+1, Transactions[Date], "&lt;="&amp;EOMONTH(A7,0))</f>
        <v>0</v>
      </c>
      <c r="D7">
        <f t="shared" si="2"/>
        <v>66400</v>
      </c>
    </row>
    <row r="8" spans="1:9">
      <c r="A8" s="3">
        <f t="shared" si="0"/>
        <v>46143</v>
      </c>
      <c r="B8">
        <f t="shared" si="1"/>
        <v>66400</v>
      </c>
      <c r="C8" s="1">
        <f>SUMIFS(Transactions[Amount], Transactions[Date], "&gt;="&amp;EOMONTH(A8,-1)+1, Transactions[Date], "&lt;="&amp;EOMONTH(A8,0))</f>
        <v>0</v>
      </c>
      <c r="D8">
        <f t="shared" si="2"/>
        <v>66400</v>
      </c>
    </row>
    <row r="9" spans="1:9">
      <c r="A9" s="3">
        <f t="shared" si="0"/>
        <v>46174</v>
      </c>
      <c r="B9">
        <f t="shared" si="1"/>
        <v>66400</v>
      </c>
      <c r="C9" s="1">
        <f>SUMIFS(Transactions[Amount], Transactions[Date], "&gt;="&amp;EOMONTH(A9,-1)+1, Transactions[Date], "&lt;="&amp;EOMONTH(A9,0))</f>
        <v>0</v>
      </c>
      <c r="D9">
        <f t="shared" si="2"/>
        <v>66400</v>
      </c>
    </row>
    <row r="10" spans="1:9">
      <c r="A10" s="3">
        <f t="shared" si="0"/>
        <v>46204</v>
      </c>
      <c r="B10">
        <f t="shared" si="1"/>
        <v>66400</v>
      </c>
      <c r="C10" s="1">
        <f>SUMIFS(Transactions[Amount], Transactions[Date], "&gt;="&amp;EOMONTH(A10,-1)+1, Transactions[Date], "&lt;="&amp;EOMONTH(A10,0))</f>
        <v>0</v>
      </c>
      <c r="D10">
        <f t="shared" si="2"/>
        <v>66400</v>
      </c>
      <c r="I10" s="5"/>
    </row>
    <row r="11" spans="1:9">
      <c r="A11" s="3">
        <f t="shared" si="0"/>
        <v>46235</v>
      </c>
      <c r="B11">
        <f t="shared" si="1"/>
        <v>66400</v>
      </c>
      <c r="C11" s="1">
        <f>SUMIFS(Transactions[Amount], Transactions[Date], "&gt;="&amp;EOMONTH(A11,-1)+1, Transactions[Date], "&lt;="&amp;EOMONTH(A11,0))</f>
        <v>0</v>
      </c>
      <c r="D11">
        <f t="shared" si="2"/>
        <v>66400</v>
      </c>
      <c r="I11" s="5"/>
    </row>
    <row r="12" spans="1:9">
      <c r="A12" s="3">
        <f t="shared" si="0"/>
        <v>46266</v>
      </c>
      <c r="B12">
        <f t="shared" si="1"/>
        <v>66400</v>
      </c>
      <c r="C12" s="1">
        <f>SUMIFS(Transactions[Amount], Transactions[Date], "&gt;="&amp;EOMONTH(A12,-1)+1, Transactions[Date], "&lt;="&amp;EOMONTH(A12,0))</f>
        <v>0</v>
      </c>
      <c r="D12">
        <f t="shared" si="2"/>
        <v>66400</v>
      </c>
    </row>
    <row r="13" spans="1:9">
      <c r="A13" s="3">
        <f t="shared" si="0"/>
        <v>46296</v>
      </c>
      <c r="B13">
        <f t="shared" si="1"/>
        <v>66400</v>
      </c>
      <c r="C13" s="1">
        <f>SUMIFS(Transactions[Amount], Transactions[Date], "&gt;="&amp;EOMONTH(A13,-1)+1, Transactions[Date], "&lt;="&amp;EOMONTH(A13,0))</f>
        <v>0</v>
      </c>
      <c r="D13">
        <f t="shared" si="2"/>
        <v>66400</v>
      </c>
    </row>
    <row r="14" spans="1:9">
      <c r="A14" s="3"/>
    </row>
    <row r="15" spans="1:9">
      <c r="A15" s="3"/>
    </row>
    <row r="16" spans="1:9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ED30-C567-414C-9C7D-6838805591AE}">
  <sheetPr codeName="Sheet4"/>
  <dimension ref="A1:K2"/>
  <sheetViews>
    <sheetView showGridLines="0" workbookViewId="0">
      <selection activeCell="K2" sqref="K2"/>
    </sheetView>
  </sheetViews>
  <sheetFormatPr defaultRowHeight="14.4"/>
  <cols>
    <col min="1" max="1" width="12.5546875" bestFit="1" customWidth="1"/>
    <col min="2" max="2" width="10.6640625" bestFit="1" customWidth="1"/>
    <col min="4" max="4" width="7.21875" bestFit="1" customWidth="1"/>
    <col min="5" max="5" width="9.44140625" bestFit="1" customWidth="1"/>
    <col min="11" max="11" width="33.5546875" customWidth="1"/>
  </cols>
  <sheetData>
    <row r="1" spans="1:11" ht="15" thickBot="1">
      <c r="A1" t="s">
        <v>15</v>
      </c>
      <c r="B1" t="s">
        <v>19</v>
      </c>
      <c r="D1" t="s">
        <v>17</v>
      </c>
      <c r="E1" t="s">
        <v>20</v>
      </c>
      <c r="G1" s="7" t="s">
        <v>21</v>
      </c>
      <c r="H1" s="7" t="s">
        <v>22</v>
      </c>
      <c r="I1" s="7" t="s">
        <v>23</v>
      </c>
      <c r="K1" s="7" t="s">
        <v>24</v>
      </c>
    </row>
    <row r="2" spans="1:11" ht="24" thickBot="1">
      <c r="A2" s="11">
        <f>Forecast!G2</f>
        <v>494.29280397022336</v>
      </c>
      <c r="B2">
        <v>365</v>
      </c>
      <c r="D2" s="9">
        <f>A2/B2</f>
        <v>1.3542268601923928</v>
      </c>
      <c r="E2" s="9">
        <f>1-D2</f>
        <v>-0.3542268601923928</v>
      </c>
      <c r="G2" s="7">
        <f>IF(A2&lt;30,A2/365, 0)</f>
        <v>0</v>
      </c>
      <c r="H2" s="7">
        <f>IF(AND(A2&gt;=30, A2&lt;=90), A2/365, 0)</f>
        <v>0</v>
      </c>
      <c r="I2" s="10">
        <f>IF(A2&gt;90, A2/365, 0)</f>
        <v>1.3542268601923928</v>
      </c>
      <c r="K2" s="8" t="str">
        <f>IF(A2&lt;30, "DANGER: &lt;30 Days", IF(A2&lt;90, "WARNING: 30–90 Days", "SAFE: &gt;90 Days"))</f>
        <v>SAFE: &gt;90 Days</v>
      </c>
    </row>
  </sheetData>
  <conditionalFormatting sqref="K2">
    <cfRule type="expression" dxfId="2" priority="1">
      <formula>ISNUMBER(SEARCH("SAFE", K2))</formula>
    </cfRule>
    <cfRule type="expression" dxfId="1" priority="2">
      <formula>ISNUMBER(SEARCH("WARNING", K2))</formula>
    </cfRule>
    <cfRule type="expression" dxfId="0" priority="3">
      <formula>ISNUMBER(SEARCH("DANGER", K2))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Inputs</vt:lpstr>
      <vt:lpstr>Forecast</vt:lpstr>
      <vt:lpstr>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van der Harten</dc:creator>
  <cp:lastModifiedBy>Gerald van der Harten</cp:lastModifiedBy>
  <dcterms:created xsi:type="dcterms:W3CDTF">2025-11-05T07:25:09Z</dcterms:created>
  <dcterms:modified xsi:type="dcterms:W3CDTF">2025-11-05T09:56:24Z</dcterms:modified>
</cp:coreProperties>
</file>